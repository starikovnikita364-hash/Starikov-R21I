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onst\Desktop\Мельников\"/>
    </mc:Choice>
  </mc:AlternateContent>
  <xr:revisionPtr revIDLastSave="0" documentId="13_ncr:1_{CEBA2135-C7A3-488E-BFE8-488050FCE4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Лист5" sheetId="5" r:id="rId2"/>
    <sheet name="Лист6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6" l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</calcChain>
</file>

<file path=xl/sharedStrings.xml><?xml version="1.0" encoding="utf-8"?>
<sst xmlns="http://schemas.openxmlformats.org/spreadsheetml/2006/main" count="95" uniqueCount="36">
  <si>
    <t>№</t>
  </si>
  <si>
    <t>Количество преступлений</t>
  </si>
  <si>
    <t>Численность населения</t>
  </si>
  <si>
    <t>Количество осужденных</t>
  </si>
  <si>
    <t>Количество раскрытых преступлений</t>
  </si>
  <si>
    <t>Численность мигрантов</t>
  </si>
  <si>
    <t>п/п</t>
  </si>
  <si>
    <t>Y</t>
  </si>
  <si>
    <t>X1</t>
  </si>
  <si>
    <t>X2</t>
  </si>
  <si>
    <t>X3</t>
  </si>
  <si>
    <t>X4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</si>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</sst>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Fill="1" applyBorder="1" applyAlignment="1"/>
    <xf numFmtId="0" fontId="0" fillId="0" borderId="4" xfId="0" applyFill="1" applyBorder="1" applyAlignment="1"/>
    <xf numFmtId="0" fontId="3" fillId="0" borderId="5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Continuous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J18" sqref="J18"/>
    </sheetView>
  </sheetViews>
  <sheetFormatPr defaultRowHeight="15" x14ac:dyDescent="0.25"/>
  <cols>
    <col min="1" max="6" width="15.140625" customWidth="1"/>
  </cols>
  <sheetData>
    <row r="1" spans="1:15" ht="15.75" customHeight="1" x14ac:dyDescent="0.25">
      <c r="A1" s="1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15" ht="16.5" thickBot="1" x14ac:dyDescent="0.3">
      <c r="A2" s="2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</row>
    <row r="3" spans="1:15" ht="16.5" thickBot="1" x14ac:dyDescent="0.3">
      <c r="A3" s="3">
        <v>1</v>
      </c>
      <c r="B3" s="4">
        <v>56</v>
      </c>
      <c r="C3" s="4">
        <v>58000</v>
      </c>
      <c r="D3" s="4">
        <v>25</v>
      </c>
      <c r="E3" s="4">
        <v>44</v>
      </c>
      <c r="F3" s="4">
        <v>36</v>
      </c>
    </row>
    <row r="4" spans="1:15" ht="16.5" thickBot="1" x14ac:dyDescent="0.3">
      <c r="A4" s="3">
        <v>2</v>
      </c>
      <c r="B4" s="4">
        <v>23</v>
      </c>
      <c r="C4" s="4">
        <v>20000</v>
      </c>
      <c r="D4" s="4">
        <v>11</v>
      </c>
      <c r="E4" s="4">
        <v>21</v>
      </c>
      <c r="F4" s="4">
        <v>33</v>
      </c>
      <c r="J4" s="10"/>
      <c r="K4" s="10" t="s">
        <v>7</v>
      </c>
      <c r="L4" s="10" t="s">
        <v>8</v>
      </c>
      <c r="M4" s="10" t="s">
        <v>9</v>
      </c>
      <c r="N4" s="10" t="s">
        <v>10</v>
      </c>
      <c r="O4" s="10" t="s">
        <v>11</v>
      </c>
    </row>
    <row r="5" spans="1:15" ht="16.5" thickBot="1" x14ac:dyDescent="0.3">
      <c r="A5" s="3">
        <v>3</v>
      </c>
      <c r="B5" s="4">
        <v>13</v>
      </c>
      <c r="C5" s="4">
        <v>15000</v>
      </c>
      <c r="D5" s="4">
        <v>7</v>
      </c>
      <c r="E5" s="4">
        <v>11</v>
      </c>
      <c r="F5" s="4">
        <v>31</v>
      </c>
      <c r="J5" s="8" t="s">
        <v>7</v>
      </c>
      <c r="K5" s="8">
        <v>1</v>
      </c>
      <c r="L5" s="8"/>
      <c r="M5" s="8"/>
      <c r="N5" s="8"/>
      <c r="O5" s="8"/>
    </row>
    <row r="6" spans="1:15" ht="16.5" thickBot="1" x14ac:dyDescent="0.3">
      <c r="A6" s="3">
        <v>4</v>
      </c>
      <c r="B6" s="4">
        <v>54</v>
      </c>
      <c r="C6" s="4">
        <v>51000</v>
      </c>
      <c r="D6" s="4">
        <v>28</v>
      </c>
      <c r="E6" s="4">
        <v>33</v>
      </c>
      <c r="F6" s="4">
        <v>44</v>
      </c>
      <c r="J6" s="8" t="s">
        <v>8</v>
      </c>
      <c r="K6" s="8">
        <v>0.80791770574917476</v>
      </c>
      <c r="L6" s="8">
        <v>1</v>
      </c>
      <c r="M6" s="8"/>
      <c r="N6" s="8"/>
      <c r="O6" s="8"/>
    </row>
    <row r="7" spans="1:15" ht="16.5" thickBot="1" x14ac:dyDescent="0.3">
      <c r="A7" s="3">
        <v>5</v>
      </c>
      <c r="B7" s="4">
        <v>21</v>
      </c>
      <c r="C7" s="4">
        <v>16000</v>
      </c>
      <c r="D7" s="4">
        <v>11</v>
      </c>
      <c r="E7" s="4">
        <v>12</v>
      </c>
      <c r="F7" s="4">
        <v>75</v>
      </c>
      <c r="J7" s="8" t="s">
        <v>9</v>
      </c>
      <c r="K7" s="8">
        <v>0.51338286488277585</v>
      </c>
      <c r="L7" s="8">
        <v>0.76422798394078995</v>
      </c>
      <c r="M7" s="8">
        <v>1</v>
      </c>
      <c r="N7" s="8"/>
      <c r="O7" s="8"/>
    </row>
    <row r="8" spans="1:15" ht="16.5" thickBot="1" x14ac:dyDescent="0.3">
      <c r="A8" s="3">
        <v>6</v>
      </c>
      <c r="B8" s="4">
        <v>89</v>
      </c>
      <c r="C8" s="4">
        <v>94000</v>
      </c>
      <c r="D8" s="4">
        <v>35</v>
      </c>
      <c r="E8" s="4">
        <v>77</v>
      </c>
      <c r="F8" s="4">
        <v>69</v>
      </c>
      <c r="J8" s="8" t="s">
        <v>10</v>
      </c>
      <c r="K8" s="8">
        <v>0.84555969310057377</v>
      </c>
      <c r="L8" s="8">
        <v>0.95907274999388825</v>
      </c>
      <c r="M8" s="8">
        <v>0.71401778279640171</v>
      </c>
      <c r="N8" s="8">
        <v>1</v>
      </c>
      <c r="O8" s="8"/>
    </row>
    <row r="9" spans="1:15" ht="16.5" thickBot="1" x14ac:dyDescent="0.3">
      <c r="A9" s="3">
        <v>7</v>
      </c>
      <c r="B9" s="4">
        <v>27</v>
      </c>
      <c r="C9" s="4">
        <v>31000</v>
      </c>
      <c r="D9" s="4">
        <v>15</v>
      </c>
      <c r="E9" s="4">
        <v>25</v>
      </c>
      <c r="F9" s="4">
        <v>32</v>
      </c>
      <c r="J9" s="9" t="s">
        <v>11</v>
      </c>
      <c r="K9" s="9">
        <v>0.50263183445622317</v>
      </c>
      <c r="L9" s="9">
        <v>0.14780781398304782</v>
      </c>
      <c r="M9" s="9">
        <v>-0.13898208162933143</v>
      </c>
      <c r="N9" s="9">
        <v>0.16880113234305807</v>
      </c>
      <c r="O9" s="9">
        <v>1</v>
      </c>
    </row>
    <row r="10" spans="1:15" ht="16.5" thickBot="1" x14ac:dyDescent="0.3">
      <c r="A10" s="3">
        <v>8</v>
      </c>
      <c r="B10" s="4">
        <v>36</v>
      </c>
      <c r="C10" s="4">
        <v>32000</v>
      </c>
      <c r="D10" s="4">
        <v>19</v>
      </c>
      <c r="E10" s="4">
        <v>31</v>
      </c>
      <c r="F10" s="4">
        <v>43</v>
      </c>
    </row>
    <row r="11" spans="1:15" ht="16.5" thickBot="1" x14ac:dyDescent="0.3">
      <c r="A11" s="3">
        <v>9</v>
      </c>
      <c r="B11" s="4">
        <v>91</v>
      </c>
      <c r="C11" s="4">
        <v>88000</v>
      </c>
      <c r="D11" s="4">
        <v>22</v>
      </c>
      <c r="E11" s="4">
        <v>87</v>
      </c>
      <c r="F11" s="4">
        <v>67</v>
      </c>
    </row>
    <row r="12" spans="1:15" ht="16.5" thickBot="1" x14ac:dyDescent="0.3">
      <c r="A12" s="3">
        <v>10</v>
      </c>
      <c r="B12" s="4">
        <v>55</v>
      </c>
      <c r="C12" s="4">
        <v>64000</v>
      </c>
      <c r="D12" s="4">
        <v>22</v>
      </c>
      <c r="E12" s="4">
        <v>45</v>
      </c>
      <c r="F12" s="4">
        <v>87</v>
      </c>
    </row>
    <row r="13" spans="1:15" ht="16.5" thickBot="1" x14ac:dyDescent="0.3">
      <c r="A13" s="3">
        <v>11</v>
      </c>
      <c r="B13" s="4">
        <v>72</v>
      </c>
      <c r="C13" s="4">
        <v>69000</v>
      </c>
      <c r="D13" s="4">
        <v>35</v>
      </c>
      <c r="E13" s="4">
        <v>65</v>
      </c>
      <c r="F13" s="4">
        <v>77</v>
      </c>
    </row>
    <row r="14" spans="1:15" ht="16.5" thickBot="1" x14ac:dyDescent="0.3">
      <c r="A14" s="3">
        <v>12</v>
      </c>
      <c r="B14" s="4">
        <v>33</v>
      </c>
      <c r="C14" s="4">
        <v>38000</v>
      </c>
      <c r="D14" s="4">
        <v>17</v>
      </c>
      <c r="E14" s="4">
        <v>27</v>
      </c>
      <c r="F14" s="4">
        <v>65</v>
      </c>
    </row>
    <row r="15" spans="1:15" ht="16.5" thickBot="1" x14ac:dyDescent="0.3">
      <c r="A15" s="3">
        <v>13</v>
      </c>
      <c r="B15" s="4">
        <v>50</v>
      </c>
      <c r="C15" s="4">
        <v>40000</v>
      </c>
      <c r="D15" s="4">
        <v>25</v>
      </c>
      <c r="E15" s="4">
        <v>37</v>
      </c>
      <c r="F15" s="4">
        <v>54</v>
      </c>
    </row>
    <row r="16" spans="1:15" ht="16.5" thickBot="1" x14ac:dyDescent="0.3">
      <c r="A16" s="3">
        <v>14</v>
      </c>
      <c r="B16" s="4">
        <v>13</v>
      </c>
      <c r="C16" s="4">
        <v>15000</v>
      </c>
      <c r="D16" s="4">
        <v>7</v>
      </c>
      <c r="E16" s="4">
        <v>11</v>
      </c>
      <c r="F16" s="4">
        <v>39</v>
      </c>
    </row>
    <row r="17" spans="1:6" ht="16.5" thickBot="1" x14ac:dyDescent="0.3">
      <c r="A17" s="3">
        <v>15</v>
      </c>
      <c r="B17" s="4">
        <v>75</v>
      </c>
      <c r="C17" s="4">
        <v>82000</v>
      </c>
      <c r="D17" s="4">
        <v>22</v>
      </c>
      <c r="E17" s="4">
        <v>55</v>
      </c>
      <c r="F17" s="4">
        <v>57</v>
      </c>
    </row>
    <row r="18" spans="1:6" ht="16.5" thickBot="1" x14ac:dyDescent="0.3">
      <c r="A18" s="3">
        <v>16</v>
      </c>
      <c r="B18" s="4">
        <v>11</v>
      </c>
      <c r="C18" s="4">
        <v>13000</v>
      </c>
      <c r="D18" s="4">
        <v>5</v>
      </c>
      <c r="E18" s="4">
        <v>9</v>
      </c>
      <c r="F18" s="4">
        <v>48</v>
      </c>
    </row>
    <row r="19" spans="1:6" ht="16.5" thickBot="1" x14ac:dyDescent="0.3">
      <c r="A19" s="3">
        <v>17</v>
      </c>
      <c r="B19" s="4">
        <v>18</v>
      </c>
      <c r="C19" s="4">
        <v>25000</v>
      </c>
      <c r="D19" s="4">
        <v>9</v>
      </c>
      <c r="E19" s="4">
        <v>15</v>
      </c>
      <c r="F19" s="4">
        <v>98</v>
      </c>
    </row>
    <row r="20" spans="1:6" ht="16.5" thickBot="1" x14ac:dyDescent="0.3">
      <c r="A20" s="3">
        <v>18</v>
      </c>
      <c r="B20" s="4">
        <v>49</v>
      </c>
      <c r="C20" s="4">
        <v>54000</v>
      </c>
      <c r="D20" s="4">
        <v>22</v>
      </c>
      <c r="E20" s="4">
        <v>37</v>
      </c>
      <c r="F20" s="4">
        <v>87</v>
      </c>
    </row>
    <row r="21" spans="1:6" ht="16.5" thickBot="1" x14ac:dyDescent="0.3">
      <c r="A21" s="3">
        <v>19</v>
      </c>
      <c r="B21" s="4">
        <v>61</v>
      </c>
      <c r="C21" s="4">
        <v>62000</v>
      </c>
      <c r="D21" s="4">
        <v>7</v>
      </c>
      <c r="E21" s="4">
        <v>55</v>
      </c>
      <c r="F21" s="4">
        <v>78</v>
      </c>
    </row>
    <row r="22" spans="1:6" ht="16.5" thickBot="1" x14ac:dyDescent="0.3">
      <c r="A22" s="3">
        <v>20</v>
      </c>
      <c r="B22" s="4">
        <v>44</v>
      </c>
      <c r="C22" s="4">
        <v>53000</v>
      </c>
      <c r="D22" s="4">
        <v>21</v>
      </c>
      <c r="E22" s="4">
        <v>41</v>
      </c>
      <c r="F22" s="4">
        <v>63</v>
      </c>
    </row>
    <row r="23" spans="1:6" ht="16.5" thickBot="1" x14ac:dyDescent="0.3">
      <c r="A23" s="3">
        <v>21</v>
      </c>
      <c r="B23" s="5">
        <v>17</v>
      </c>
      <c r="C23" s="4">
        <v>21000</v>
      </c>
      <c r="D23" s="4">
        <v>9</v>
      </c>
      <c r="E23" s="4">
        <v>10</v>
      </c>
      <c r="F23" s="4">
        <v>51</v>
      </c>
    </row>
    <row r="24" spans="1:6" ht="16.5" thickBot="1" x14ac:dyDescent="0.3">
      <c r="A24" s="3">
        <v>22</v>
      </c>
      <c r="B24" s="5">
        <v>20</v>
      </c>
      <c r="C24" s="4">
        <v>24000</v>
      </c>
      <c r="D24" s="4">
        <v>10</v>
      </c>
      <c r="E24" s="4">
        <v>15</v>
      </c>
      <c r="F24" s="4">
        <v>59</v>
      </c>
    </row>
    <row r="25" spans="1:6" ht="16.5" thickBot="1" x14ac:dyDescent="0.3">
      <c r="A25" s="3">
        <v>23</v>
      </c>
      <c r="B25" s="5">
        <v>87</v>
      </c>
      <c r="C25" s="4">
        <v>33500</v>
      </c>
      <c r="D25" s="4">
        <v>5</v>
      </c>
      <c r="E25" s="4">
        <v>33</v>
      </c>
      <c r="F25" s="4">
        <v>125</v>
      </c>
    </row>
    <row r="26" spans="1:6" ht="16.5" thickBot="1" x14ac:dyDescent="0.3">
      <c r="A26" s="3">
        <v>24</v>
      </c>
      <c r="B26" s="5">
        <v>75</v>
      </c>
      <c r="C26" s="4">
        <v>25000</v>
      </c>
      <c r="D26" s="4">
        <v>5</v>
      </c>
      <c r="E26" s="4">
        <v>22</v>
      </c>
      <c r="F26" s="4">
        <v>122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72576-E395-46D5-9602-70349BA09C19}">
  <dimension ref="A1:P26"/>
  <sheetViews>
    <sheetView topLeftCell="B1" workbookViewId="0">
      <selection activeCell="G1" sqref="G1"/>
    </sheetView>
  </sheetViews>
  <sheetFormatPr defaultRowHeight="15" x14ac:dyDescent="0.25"/>
  <cols>
    <col min="6" max="13" width="22" customWidth="1"/>
  </cols>
  <sheetData>
    <row r="1" spans="1:13" ht="63" x14ac:dyDescent="0.25">
      <c r="A1" s="1" t="s">
        <v>0</v>
      </c>
      <c r="B1" s="1" t="s">
        <v>0</v>
      </c>
      <c r="C1" s="6" t="s">
        <v>1</v>
      </c>
      <c r="D1" s="6" t="s">
        <v>2</v>
      </c>
      <c r="E1" s="6" t="s">
        <v>3</v>
      </c>
      <c r="F1" s="6" t="s">
        <v>5</v>
      </c>
    </row>
    <row r="2" spans="1:13" ht="16.5" thickBot="1" x14ac:dyDescent="0.3">
      <c r="A2" s="2" t="s">
        <v>6</v>
      </c>
      <c r="B2" s="2" t="s">
        <v>6</v>
      </c>
      <c r="C2" s="7" t="s">
        <v>7</v>
      </c>
      <c r="D2" s="7" t="s">
        <v>8</v>
      </c>
      <c r="E2" s="7" t="s">
        <v>9</v>
      </c>
      <c r="F2" s="7" t="s">
        <v>11</v>
      </c>
    </row>
    <row r="3" spans="1:13" ht="16.5" thickBot="1" x14ac:dyDescent="0.3">
      <c r="A3" s="3">
        <v>1</v>
      </c>
      <c r="B3" s="3">
        <v>1</v>
      </c>
      <c r="C3" s="4">
        <v>56</v>
      </c>
      <c r="D3" s="4">
        <v>58000</v>
      </c>
      <c r="E3" s="4">
        <v>25</v>
      </c>
      <c r="F3" s="4">
        <v>36</v>
      </c>
    </row>
    <row r="4" spans="1:13" ht="16.5" thickBot="1" x14ac:dyDescent="0.3">
      <c r="A4" s="3">
        <v>2</v>
      </c>
      <c r="B4" s="3">
        <v>2</v>
      </c>
      <c r="C4" s="4">
        <v>23</v>
      </c>
      <c r="D4" s="4">
        <v>20000</v>
      </c>
      <c r="E4" s="4">
        <v>11</v>
      </c>
      <c r="F4" s="4">
        <v>33</v>
      </c>
      <c r="H4" t="s">
        <v>12</v>
      </c>
    </row>
    <row r="5" spans="1:13" ht="16.5" thickBot="1" x14ac:dyDescent="0.3">
      <c r="A5" s="3">
        <v>3</v>
      </c>
      <c r="B5" s="3">
        <v>3</v>
      </c>
      <c r="C5" s="4">
        <v>13</v>
      </c>
      <c r="D5" s="4">
        <v>15000</v>
      </c>
      <c r="E5" s="4">
        <v>7</v>
      </c>
      <c r="F5" s="4">
        <v>31</v>
      </c>
    </row>
    <row r="6" spans="1:13" ht="16.5" thickBot="1" x14ac:dyDescent="0.3">
      <c r="A6" s="3">
        <v>4</v>
      </c>
      <c r="B6" s="3">
        <v>4</v>
      </c>
      <c r="C6" s="4">
        <v>54</v>
      </c>
      <c r="D6" s="4">
        <v>51000</v>
      </c>
      <c r="E6" s="4">
        <v>28</v>
      </c>
      <c r="F6" s="4">
        <v>44</v>
      </c>
      <c r="H6" s="11" t="s">
        <v>13</v>
      </c>
      <c r="I6" s="11"/>
    </row>
    <row r="7" spans="1:13" ht="16.5" thickBot="1" x14ac:dyDescent="0.3">
      <c r="A7" s="3">
        <v>5</v>
      </c>
      <c r="B7" s="3">
        <v>5</v>
      </c>
      <c r="C7" s="4">
        <v>21</v>
      </c>
      <c r="D7" s="4">
        <v>16000</v>
      </c>
      <c r="E7" s="4">
        <v>11</v>
      </c>
      <c r="F7" s="4">
        <v>75</v>
      </c>
      <c r="H7" s="8" t="s">
        <v>14</v>
      </c>
      <c r="I7" s="8">
        <v>0.89607276186062934</v>
      </c>
    </row>
    <row r="8" spans="1:13" ht="16.5" thickBot="1" x14ac:dyDescent="0.3">
      <c r="A8" s="3">
        <v>6</v>
      </c>
      <c r="B8" s="3">
        <v>6</v>
      </c>
      <c r="C8" s="4">
        <v>89</v>
      </c>
      <c r="D8" s="4">
        <v>94000</v>
      </c>
      <c r="E8" s="4">
        <v>35</v>
      </c>
      <c r="F8" s="4">
        <v>69</v>
      </c>
      <c r="H8" s="8" t="s">
        <v>15</v>
      </c>
      <c r="I8" s="8">
        <v>0.80294639454853611</v>
      </c>
    </row>
    <row r="9" spans="1:13" ht="16.5" thickBot="1" x14ac:dyDescent="0.3">
      <c r="A9" s="3">
        <v>7</v>
      </c>
      <c r="B9" s="3">
        <v>7</v>
      </c>
      <c r="C9" s="4">
        <v>27</v>
      </c>
      <c r="D9" s="4">
        <v>31000</v>
      </c>
      <c r="E9" s="4">
        <v>15</v>
      </c>
      <c r="F9" s="4">
        <v>32</v>
      </c>
      <c r="H9" s="8" t="s">
        <v>16</v>
      </c>
      <c r="I9" s="8">
        <v>0.77338835373081649</v>
      </c>
    </row>
    <row r="10" spans="1:13" ht="16.5" thickBot="1" x14ac:dyDescent="0.3">
      <c r="A10" s="3">
        <v>8</v>
      </c>
      <c r="B10" s="3">
        <v>8</v>
      </c>
      <c r="C10" s="4">
        <v>36</v>
      </c>
      <c r="D10" s="4">
        <v>32000</v>
      </c>
      <c r="E10" s="4">
        <v>19</v>
      </c>
      <c r="F10" s="4">
        <v>43</v>
      </c>
      <c r="H10" s="8" t="s">
        <v>17</v>
      </c>
      <c r="I10" s="8">
        <v>12.513079268443661</v>
      </c>
    </row>
    <row r="11" spans="1:13" ht="16.5" thickBot="1" x14ac:dyDescent="0.3">
      <c r="A11" s="3">
        <v>9</v>
      </c>
      <c r="B11" s="3">
        <v>9</v>
      </c>
      <c r="C11" s="4">
        <v>91</v>
      </c>
      <c r="D11" s="4">
        <v>88000</v>
      </c>
      <c r="E11" s="4">
        <v>22</v>
      </c>
      <c r="F11" s="4">
        <v>67</v>
      </c>
      <c r="H11" s="9" t="s">
        <v>18</v>
      </c>
      <c r="I11" s="9">
        <v>24</v>
      </c>
    </row>
    <row r="12" spans="1:13" ht="16.5" thickBot="1" x14ac:dyDescent="0.3">
      <c r="A12" s="3">
        <v>10</v>
      </c>
      <c r="B12" s="3">
        <v>10</v>
      </c>
      <c r="C12" s="4">
        <v>55</v>
      </c>
      <c r="D12" s="4">
        <v>64000</v>
      </c>
      <c r="E12" s="4">
        <v>22</v>
      </c>
      <c r="F12" s="4">
        <v>87</v>
      </c>
    </row>
    <row r="13" spans="1:13" ht="16.5" thickBot="1" x14ac:dyDescent="0.3">
      <c r="A13" s="3">
        <v>11</v>
      </c>
      <c r="B13" s="3">
        <v>11</v>
      </c>
      <c r="C13" s="4">
        <v>72</v>
      </c>
      <c r="D13" s="4">
        <v>69000</v>
      </c>
      <c r="E13" s="4">
        <v>35</v>
      </c>
      <c r="F13" s="4">
        <v>77</v>
      </c>
      <c r="H13" t="s">
        <v>19</v>
      </c>
    </row>
    <row r="14" spans="1:13" ht="16.5" thickBot="1" x14ac:dyDescent="0.3">
      <c r="A14" s="3">
        <v>12</v>
      </c>
      <c r="B14" s="3">
        <v>12</v>
      </c>
      <c r="C14" s="4">
        <v>33</v>
      </c>
      <c r="D14" s="4">
        <v>38000</v>
      </c>
      <c r="E14" s="4">
        <v>17</v>
      </c>
      <c r="F14" s="4">
        <v>65</v>
      </c>
      <c r="H14" s="10"/>
      <c r="I14" s="10" t="s">
        <v>24</v>
      </c>
      <c r="J14" s="10" t="s">
        <v>25</v>
      </c>
      <c r="K14" s="10" t="s">
        <v>26</v>
      </c>
      <c r="L14" s="10" t="s">
        <v>27</v>
      </c>
      <c r="M14" s="10" t="s">
        <v>28</v>
      </c>
    </row>
    <row r="15" spans="1:13" ht="16.5" thickBot="1" x14ac:dyDescent="0.3">
      <c r="A15" s="3">
        <v>13</v>
      </c>
      <c r="B15" s="3">
        <v>13</v>
      </c>
      <c r="C15" s="4">
        <v>50</v>
      </c>
      <c r="D15" s="4">
        <v>40000</v>
      </c>
      <c r="E15" s="4">
        <v>25</v>
      </c>
      <c r="F15" s="4">
        <v>54</v>
      </c>
      <c r="H15" s="8" t="s">
        <v>20</v>
      </c>
      <c r="I15" s="8">
        <v>3</v>
      </c>
      <c r="J15" s="8">
        <v>12760.290277766246</v>
      </c>
      <c r="K15" s="8">
        <v>4253.4300925887483</v>
      </c>
      <c r="L15" s="8">
        <v>27.165074962180231</v>
      </c>
      <c r="M15" s="8">
        <v>2.9592059638568302E-7</v>
      </c>
    </row>
    <row r="16" spans="1:13" ht="16.5" thickBot="1" x14ac:dyDescent="0.3">
      <c r="A16" s="3">
        <v>14</v>
      </c>
      <c r="B16" s="3">
        <v>14</v>
      </c>
      <c r="C16" s="4">
        <v>13</v>
      </c>
      <c r="D16" s="4">
        <v>15000</v>
      </c>
      <c r="E16" s="4">
        <v>7</v>
      </c>
      <c r="F16" s="4">
        <v>39</v>
      </c>
      <c r="H16" s="8" t="s">
        <v>21</v>
      </c>
      <c r="I16" s="8">
        <v>20</v>
      </c>
      <c r="J16" s="8">
        <v>3131.543055567091</v>
      </c>
      <c r="K16" s="8">
        <v>156.57715277835456</v>
      </c>
      <c r="L16" s="8"/>
      <c r="M16" s="8"/>
    </row>
    <row r="17" spans="1:16" ht="16.5" thickBot="1" x14ac:dyDescent="0.3">
      <c r="A17" s="3">
        <v>15</v>
      </c>
      <c r="B17" s="3">
        <v>15</v>
      </c>
      <c r="C17" s="4">
        <v>75</v>
      </c>
      <c r="D17" s="4">
        <v>82000</v>
      </c>
      <c r="E17" s="4">
        <v>22</v>
      </c>
      <c r="F17" s="4">
        <v>57</v>
      </c>
      <c r="H17" s="9" t="s">
        <v>22</v>
      </c>
      <c r="I17" s="9">
        <v>23</v>
      </c>
      <c r="J17" s="9">
        <v>15891.833333333336</v>
      </c>
      <c r="K17" s="9"/>
      <c r="L17" s="9"/>
      <c r="M17" s="9"/>
    </row>
    <row r="18" spans="1:16" ht="16.5" thickBot="1" x14ac:dyDescent="0.3">
      <c r="A18" s="3">
        <v>16</v>
      </c>
      <c r="B18" s="3">
        <v>16</v>
      </c>
      <c r="C18" s="4">
        <v>11</v>
      </c>
      <c r="D18" s="4">
        <v>13000</v>
      </c>
      <c r="E18" s="4">
        <v>5</v>
      </c>
      <c r="F18" s="4">
        <v>48</v>
      </c>
    </row>
    <row r="19" spans="1:16" ht="16.5" thickBot="1" x14ac:dyDescent="0.3">
      <c r="A19" s="3">
        <v>17</v>
      </c>
      <c r="B19" s="3">
        <v>17</v>
      </c>
      <c r="C19" s="4">
        <v>18</v>
      </c>
      <c r="D19" s="4">
        <v>25000</v>
      </c>
      <c r="E19" s="4">
        <v>9</v>
      </c>
      <c r="F19" s="4">
        <v>98</v>
      </c>
      <c r="H19" s="10"/>
      <c r="I19" s="10" t="s">
        <v>29</v>
      </c>
      <c r="J19" s="10" t="s">
        <v>17</v>
      </c>
      <c r="K19" s="10" t="s">
        <v>30</v>
      </c>
      <c r="L19" s="10" t="s">
        <v>31</v>
      </c>
      <c r="M19" s="10" t="s">
        <v>32</v>
      </c>
      <c r="N19" s="10" t="s">
        <v>33</v>
      </c>
      <c r="O19" s="10" t="s">
        <v>34</v>
      </c>
      <c r="P19" s="10" t="s">
        <v>35</v>
      </c>
    </row>
    <row r="20" spans="1:16" ht="16.5" thickBot="1" x14ac:dyDescent="0.3">
      <c r="A20" s="3">
        <v>18</v>
      </c>
      <c r="B20" s="3">
        <v>18</v>
      </c>
      <c r="C20" s="4">
        <v>49</v>
      </c>
      <c r="D20" s="4">
        <v>54000</v>
      </c>
      <c r="E20" s="4">
        <v>22</v>
      </c>
      <c r="F20" s="4">
        <v>87</v>
      </c>
      <c r="H20" s="8" t="s">
        <v>23</v>
      </c>
      <c r="I20" s="8">
        <v>-13.840175534183807</v>
      </c>
      <c r="J20" s="8">
        <v>8.9427577150707602</v>
      </c>
      <c r="K20" s="8">
        <v>-1.5476406691483642</v>
      </c>
      <c r="L20" s="8">
        <v>0.13738744926148921</v>
      </c>
      <c r="M20" s="8">
        <v>-32.494441245576219</v>
      </c>
      <c r="N20" s="8">
        <v>4.8140901772086053</v>
      </c>
      <c r="O20" s="8">
        <v>-32.494441245576219</v>
      </c>
      <c r="P20" s="8">
        <v>4.8140901772086053</v>
      </c>
    </row>
    <row r="21" spans="1:16" ht="16.5" thickBot="1" x14ac:dyDescent="0.3">
      <c r="A21" s="3">
        <v>19</v>
      </c>
      <c r="B21" s="3">
        <v>19</v>
      </c>
      <c r="C21" s="4">
        <v>61</v>
      </c>
      <c r="D21" s="4">
        <v>62000</v>
      </c>
      <c r="E21" s="4">
        <v>7</v>
      </c>
      <c r="F21" s="4">
        <v>78</v>
      </c>
      <c r="H21" s="8" t="s">
        <v>8</v>
      </c>
      <c r="I21" s="8">
        <v>8.1973822667010118E-4</v>
      </c>
      <c r="J21" s="8">
        <v>1.8039948527605199E-4</v>
      </c>
      <c r="K21" s="8">
        <v>4.5440164389367101</v>
      </c>
      <c r="L21" s="8">
        <v>1.9745770438050214E-4</v>
      </c>
      <c r="M21" s="8">
        <v>4.4343149447868016E-4</v>
      </c>
      <c r="N21" s="8">
        <v>1.1960449588615221E-3</v>
      </c>
      <c r="O21" s="8">
        <v>4.4343149447868016E-4</v>
      </c>
      <c r="P21" s="8">
        <v>1.1960449588615221E-3</v>
      </c>
    </row>
    <row r="22" spans="1:16" ht="16.5" thickBot="1" x14ac:dyDescent="0.3">
      <c r="A22" s="3">
        <v>20</v>
      </c>
      <c r="B22" s="3">
        <v>20</v>
      </c>
      <c r="C22" s="4">
        <v>44</v>
      </c>
      <c r="D22" s="4">
        <v>53000</v>
      </c>
      <c r="E22" s="4">
        <v>21</v>
      </c>
      <c r="F22" s="4">
        <v>63</v>
      </c>
      <c r="H22" s="8" t="s">
        <v>9</v>
      </c>
      <c r="I22" s="8">
        <v>-4.2995265694278299E-2</v>
      </c>
      <c r="J22" s="8">
        <v>0.47296264622715523</v>
      </c>
      <c r="K22" s="8">
        <v>-9.0906260858555132E-2</v>
      </c>
      <c r="L22" s="8">
        <v>0.92847138784366656</v>
      </c>
      <c r="M22" s="8">
        <v>-1.0295780576462608</v>
      </c>
      <c r="N22" s="8">
        <v>0.94358752625770415</v>
      </c>
      <c r="O22" s="8">
        <v>-1.0295780576462608</v>
      </c>
      <c r="P22" s="8">
        <v>0.94358752625770415</v>
      </c>
    </row>
    <row r="23" spans="1:16" ht="16.5" thickBot="1" x14ac:dyDescent="0.3">
      <c r="A23" s="3">
        <v>21</v>
      </c>
      <c r="B23" s="3">
        <v>21</v>
      </c>
      <c r="C23" s="5">
        <v>17</v>
      </c>
      <c r="D23" s="4">
        <v>21000</v>
      </c>
      <c r="E23" s="4">
        <v>9</v>
      </c>
      <c r="F23" s="4">
        <v>51</v>
      </c>
      <c r="H23" s="9" t="s">
        <v>11</v>
      </c>
      <c r="I23" s="9">
        <v>0.38967680032929114</v>
      </c>
      <c r="J23" s="9">
        <v>0.10975973314323324</v>
      </c>
      <c r="K23" s="9">
        <v>3.5502710253565786</v>
      </c>
      <c r="L23" s="9">
        <v>2.0071437372477436E-3</v>
      </c>
      <c r="M23" s="9">
        <v>0.16072200901085093</v>
      </c>
      <c r="N23" s="9">
        <v>0.6186315916477314</v>
      </c>
      <c r="O23" s="9">
        <v>0.16072200901085093</v>
      </c>
      <c r="P23" s="9">
        <v>0.6186315916477314</v>
      </c>
    </row>
    <row r="24" spans="1:16" ht="16.5" thickBot="1" x14ac:dyDescent="0.3">
      <c r="A24" s="3">
        <v>22</v>
      </c>
      <c r="B24" s="3">
        <v>22</v>
      </c>
      <c r="C24" s="5">
        <v>20</v>
      </c>
      <c r="D24" s="4">
        <v>24000</v>
      </c>
      <c r="E24" s="4">
        <v>10</v>
      </c>
      <c r="F24" s="4">
        <v>59</v>
      </c>
    </row>
    <row r="25" spans="1:16" ht="16.5" thickBot="1" x14ac:dyDescent="0.3">
      <c r="A25" s="3">
        <v>23</v>
      </c>
      <c r="B25" s="3">
        <v>23</v>
      </c>
      <c r="C25" s="5">
        <v>87</v>
      </c>
      <c r="D25" s="4">
        <v>33500</v>
      </c>
      <c r="E25" s="4">
        <v>5</v>
      </c>
      <c r="F25" s="4">
        <v>125</v>
      </c>
    </row>
    <row r="26" spans="1:16" ht="16.5" thickBot="1" x14ac:dyDescent="0.3">
      <c r="A26" s="3">
        <v>24</v>
      </c>
      <c r="B26" s="3">
        <v>24</v>
      </c>
      <c r="C26" s="5">
        <v>75</v>
      </c>
      <c r="D26" s="4">
        <v>25000</v>
      </c>
      <c r="E26" s="4">
        <v>5</v>
      </c>
      <c r="F26" s="4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4CA6D-2F01-40BD-9190-465F7D1B1FAE}">
  <dimension ref="A1:N26"/>
  <sheetViews>
    <sheetView workbookViewId="0">
      <selection activeCell="I3" sqref="I3"/>
    </sheetView>
  </sheetViews>
  <sheetFormatPr defaultRowHeight="15" x14ac:dyDescent="0.25"/>
  <cols>
    <col min="6" max="14" width="17.140625" customWidth="1"/>
  </cols>
  <sheetData>
    <row r="1" spans="1:11" ht="63" x14ac:dyDescent="0.25">
      <c r="A1" s="6" t="s">
        <v>1</v>
      </c>
      <c r="B1" s="6" t="s">
        <v>2</v>
      </c>
      <c r="C1" s="6" t="s">
        <v>5</v>
      </c>
    </row>
    <row r="2" spans="1:11" ht="16.5" thickBot="1" x14ac:dyDescent="0.3">
      <c r="A2" s="7" t="s">
        <v>7</v>
      </c>
      <c r="B2" s="7" t="s">
        <v>8</v>
      </c>
      <c r="C2" s="7" t="s">
        <v>11</v>
      </c>
      <c r="F2" t="s">
        <v>12</v>
      </c>
    </row>
    <row r="3" spans="1:11" ht="16.5" thickBot="1" x14ac:dyDescent="0.3">
      <c r="A3" s="4">
        <v>56</v>
      </c>
      <c r="B3" s="4">
        <v>58000</v>
      </c>
      <c r="C3" s="4">
        <v>36</v>
      </c>
      <c r="D3" s="12">
        <f>$G$18+$G$19*B3+$G$20*C3</f>
        <v>46.714404327816951</v>
      </c>
    </row>
    <row r="4" spans="1:11" ht="16.5" thickBot="1" x14ac:dyDescent="0.3">
      <c r="A4" s="4">
        <v>23</v>
      </c>
      <c r="B4" s="4">
        <v>20000</v>
      </c>
      <c r="C4" s="4">
        <v>33</v>
      </c>
      <c r="D4" s="12">
        <f t="shared" ref="D4:D26" si="0">$G$18+$G$19*B4+$G$20*C4</f>
        <v>14.882828088741407</v>
      </c>
      <c r="F4" s="11" t="s">
        <v>13</v>
      </c>
      <c r="G4" s="11"/>
    </row>
    <row r="5" spans="1:11" ht="16.5" thickBot="1" x14ac:dyDescent="0.3">
      <c r="A5" s="4">
        <v>13</v>
      </c>
      <c r="B5" s="4">
        <v>15000</v>
      </c>
      <c r="C5" s="4">
        <v>31</v>
      </c>
      <c r="D5" s="12">
        <f t="shared" si="0"/>
        <v>10.062602607174984</v>
      </c>
      <c r="F5" s="8" t="s">
        <v>14</v>
      </c>
      <c r="G5" s="8">
        <v>0.89602732799201434</v>
      </c>
    </row>
    <row r="6" spans="1:11" ht="16.5" thickBot="1" x14ac:dyDescent="0.3">
      <c r="A6" s="4">
        <v>54</v>
      </c>
      <c r="B6" s="4">
        <v>51000</v>
      </c>
      <c r="C6" s="4">
        <v>44</v>
      </c>
      <c r="D6" s="12">
        <f t="shared" si="0"/>
        <v>44.217161124522008</v>
      </c>
      <c r="F6" s="8" t="s">
        <v>15</v>
      </c>
      <c r="G6" s="8">
        <v>0.80286497250850886</v>
      </c>
    </row>
    <row r="7" spans="1:11" ht="16.5" thickBot="1" x14ac:dyDescent="0.3">
      <c r="A7" s="4">
        <v>21</v>
      </c>
      <c r="B7" s="4">
        <v>16000</v>
      </c>
      <c r="C7" s="4">
        <v>75</v>
      </c>
      <c r="D7" s="12">
        <f t="shared" si="0"/>
        <v>28.18838471563226</v>
      </c>
      <c r="F7" s="8" t="s">
        <v>16</v>
      </c>
      <c r="G7" s="8">
        <v>0.78409020798550966</v>
      </c>
    </row>
    <row r="8" spans="1:11" ht="16.5" thickBot="1" x14ac:dyDescent="0.3">
      <c r="A8" s="4">
        <v>89</v>
      </c>
      <c r="B8" s="4">
        <v>94000</v>
      </c>
      <c r="C8" s="4">
        <v>69</v>
      </c>
      <c r="D8" s="12">
        <f t="shared" si="0"/>
        <v>88.741319272752946</v>
      </c>
      <c r="F8" s="8" t="s">
        <v>17</v>
      </c>
      <c r="G8" s="8">
        <v>12.214037593524964</v>
      </c>
    </row>
    <row r="9" spans="1:11" ht="16.5" thickBot="1" x14ac:dyDescent="0.3">
      <c r="A9" s="4">
        <v>27</v>
      </c>
      <c r="B9" s="4">
        <v>31000</v>
      </c>
      <c r="C9" s="4">
        <v>32</v>
      </c>
      <c r="D9" s="12">
        <f t="shared" si="0"/>
        <v>23.361787912738514</v>
      </c>
      <c r="F9" s="9" t="s">
        <v>18</v>
      </c>
      <c r="G9" s="9">
        <v>24</v>
      </c>
    </row>
    <row r="10" spans="1:11" ht="16.5" thickBot="1" x14ac:dyDescent="0.3">
      <c r="A10" s="4">
        <v>36</v>
      </c>
      <c r="B10" s="4">
        <v>32000</v>
      </c>
      <c r="C10" s="4">
        <v>43</v>
      </c>
      <c r="D10" s="12">
        <f t="shared" si="0"/>
        <v>28.49818191567396</v>
      </c>
    </row>
    <row r="11" spans="1:11" ht="16.5" thickBot="1" x14ac:dyDescent="0.3">
      <c r="A11" s="4">
        <v>91</v>
      </c>
      <c r="B11" s="4">
        <v>88000</v>
      </c>
      <c r="C11" s="4">
        <v>67</v>
      </c>
      <c r="D11" s="12">
        <f t="shared" si="0"/>
        <v>83.114495823425031</v>
      </c>
      <c r="F11" t="s">
        <v>19</v>
      </c>
    </row>
    <row r="12" spans="1:11" ht="16.5" thickBot="1" x14ac:dyDescent="0.3">
      <c r="A12" s="4">
        <v>55</v>
      </c>
      <c r="B12" s="4">
        <v>64000</v>
      </c>
      <c r="C12" s="4">
        <v>87</v>
      </c>
      <c r="D12" s="12">
        <f t="shared" si="0"/>
        <v>71.628501024737886</v>
      </c>
      <c r="F12" s="10"/>
      <c r="G12" s="10" t="s">
        <v>24</v>
      </c>
      <c r="H12" s="10" t="s">
        <v>25</v>
      </c>
      <c r="I12" s="10" t="s">
        <v>26</v>
      </c>
      <c r="J12" s="10" t="s">
        <v>27</v>
      </c>
      <c r="K12" s="10" t="s">
        <v>28</v>
      </c>
    </row>
    <row r="13" spans="1:11" ht="16.5" thickBot="1" x14ac:dyDescent="0.3">
      <c r="A13" s="4">
        <v>72</v>
      </c>
      <c r="B13" s="4">
        <v>69000</v>
      </c>
      <c r="C13" s="4">
        <v>77</v>
      </c>
      <c r="D13" s="12">
        <f t="shared" si="0"/>
        <v>71.725312649750933</v>
      </c>
      <c r="F13" s="8" t="s">
        <v>20</v>
      </c>
      <c r="G13" s="8">
        <v>2</v>
      </c>
      <c r="H13" s="8">
        <v>12758.996332276472</v>
      </c>
      <c r="I13" s="8">
        <v>6379.4981661382362</v>
      </c>
      <c r="J13" s="8">
        <v>42.762984937840159</v>
      </c>
      <c r="K13" s="8">
        <v>3.9356808766885894E-8</v>
      </c>
    </row>
    <row r="14" spans="1:11" ht="16.5" thickBot="1" x14ac:dyDescent="0.3">
      <c r="A14" s="4">
        <v>33</v>
      </c>
      <c r="B14" s="4">
        <v>38000</v>
      </c>
      <c r="C14" s="4">
        <v>65</v>
      </c>
      <c r="D14" s="12">
        <f t="shared" si="0"/>
        <v>41.99736179259088</v>
      </c>
      <c r="F14" s="8" t="s">
        <v>21</v>
      </c>
      <c r="G14" s="8">
        <v>21</v>
      </c>
      <c r="H14" s="8">
        <v>3132.8370010568633</v>
      </c>
      <c r="I14" s="8">
        <v>149.1827143360411</v>
      </c>
      <c r="J14" s="8"/>
      <c r="K14" s="8"/>
    </row>
    <row r="15" spans="1:11" ht="16.5" thickBot="1" x14ac:dyDescent="0.3">
      <c r="A15" s="4">
        <v>50</v>
      </c>
      <c r="B15" s="4">
        <v>40000</v>
      </c>
      <c r="C15" s="4">
        <v>54</v>
      </c>
      <c r="D15" s="12">
        <f t="shared" si="0"/>
        <v>39.280761692939947</v>
      </c>
      <c r="F15" s="9" t="s">
        <v>22</v>
      </c>
      <c r="G15" s="9">
        <v>23</v>
      </c>
      <c r="H15" s="9">
        <v>15891.833333333336</v>
      </c>
      <c r="I15" s="9"/>
      <c r="J15" s="9"/>
      <c r="K15" s="9"/>
    </row>
    <row r="16" spans="1:11" ht="16.5" thickBot="1" x14ac:dyDescent="0.3">
      <c r="A16" s="4">
        <v>13</v>
      </c>
      <c r="B16" s="4">
        <v>15000</v>
      </c>
      <c r="C16" s="4">
        <v>39</v>
      </c>
      <c r="D16" s="12">
        <f t="shared" si="0"/>
        <v>13.211545178210578</v>
      </c>
    </row>
    <row r="17" spans="1:14" ht="16.5" thickBot="1" x14ac:dyDescent="0.3">
      <c r="A17" s="4">
        <v>75</v>
      </c>
      <c r="B17" s="4">
        <v>82000</v>
      </c>
      <c r="C17" s="4">
        <v>57</v>
      </c>
      <c r="D17" s="12">
        <f t="shared" si="0"/>
        <v>74.338729803061511</v>
      </c>
      <c r="F17" s="10"/>
      <c r="G17" s="10" t="s">
        <v>29</v>
      </c>
      <c r="H17" s="10" t="s">
        <v>17</v>
      </c>
      <c r="I17" s="10" t="s">
        <v>30</v>
      </c>
      <c r="J17" s="10" t="s">
        <v>31</v>
      </c>
      <c r="K17" s="10" t="s">
        <v>32</v>
      </c>
      <c r="L17" s="10" t="s">
        <v>33</v>
      </c>
      <c r="M17" s="10" t="s">
        <v>34</v>
      </c>
      <c r="N17" s="10" t="s">
        <v>35</v>
      </c>
    </row>
    <row r="18" spans="1:14" ht="16.5" thickBot="1" x14ac:dyDescent="0.3">
      <c r="A18" s="4">
        <v>11</v>
      </c>
      <c r="B18" s="4">
        <v>13000</v>
      </c>
      <c r="C18" s="4">
        <v>48</v>
      </c>
      <c r="D18" s="12">
        <f t="shared" si="0"/>
        <v>15.140909635102615</v>
      </c>
      <c r="F18" s="8" t="s">
        <v>23</v>
      </c>
      <c r="G18" s="8">
        <v>-14.238519372010522</v>
      </c>
      <c r="H18" s="8">
        <v>7.609318560456015</v>
      </c>
      <c r="I18" s="8">
        <v>-1.8711950694251429</v>
      </c>
      <c r="J18" s="8">
        <v>7.5317066256238185E-2</v>
      </c>
      <c r="K18" s="8">
        <v>-30.062963599278149</v>
      </c>
      <c r="L18" s="8">
        <v>1.5859248552571064</v>
      </c>
      <c r="M18" s="8">
        <v>-30.062963599278149</v>
      </c>
      <c r="N18" s="8">
        <v>1.5859248552571064</v>
      </c>
    </row>
    <row r="19" spans="1:14" ht="16.5" thickBot="1" x14ac:dyDescent="0.3">
      <c r="A19" s="4">
        <v>18</v>
      </c>
      <c r="B19" s="4">
        <v>25000</v>
      </c>
      <c r="C19" s="4">
        <v>98</v>
      </c>
      <c r="D19" s="12">
        <f t="shared" si="0"/>
        <v>44.500976317213144</v>
      </c>
      <c r="F19" s="8" t="s">
        <v>8</v>
      </c>
      <c r="G19" s="8">
        <v>8.0659796776150509E-4</v>
      </c>
      <c r="H19" s="8">
        <v>1.0535586989702008E-4</v>
      </c>
      <c r="I19" s="8">
        <v>7.6559376193268864</v>
      </c>
      <c r="J19" s="8">
        <v>1.6541108769922223E-7</v>
      </c>
      <c r="K19" s="8">
        <v>5.8749844210033387E-4</v>
      </c>
      <c r="L19" s="8">
        <v>1.0256974934226763E-3</v>
      </c>
      <c r="M19" s="8">
        <v>5.8749844210033387E-4</v>
      </c>
      <c r="N19" s="8">
        <v>1.0256974934226763E-3</v>
      </c>
    </row>
    <row r="20" spans="1:14" ht="16.5" thickBot="1" x14ac:dyDescent="0.3">
      <c r="A20" s="4">
        <v>49</v>
      </c>
      <c r="B20" s="4">
        <v>54000</v>
      </c>
      <c r="C20" s="4">
        <v>87</v>
      </c>
      <c r="D20" s="12">
        <f t="shared" si="0"/>
        <v>63.562521347122846</v>
      </c>
      <c r="F20" s="9" t="s">
        <v>11</v>
      </c>
      <c r="G20" s="9">
        <v>0.39361782137944934</v>
      </c>
      <c r="H20" s="9">
        <v>9.8425480717293595E-2</v>
      </c>
      <c r="I20" s="9">
        <v>3.9991455313287561</v>
      </c>
      <c r="J20" s="9">
        <v>6.5104289441113088E-4</v>
      </c>
      <c r="K20" s="9">
        <v>0.18893082900578828</v>
      </c>
      <c r="L20" s="9">
        <v>0.5983048137531104</v>
      </c>
      <c r="M20" s="9">
        <v>0.18893082900578828</v>
      </c>
      <c r="N20" s="9">
        <v>0.5983048137531104</v>
      </c>
    </row>
    <row r="21" spans="1:14" ht="16.5" thickBot="1" x14ac:dyDescent="0.3">
      <c r="A21" s="4">
        <v>61</v>
      </c>
      <c r="B21" s="4">
        <v>62000</v>
      </c>
      <c r="C21" s="4">
        <v>78</v>
      </c>
      <c r="D21" s="12">
        <f t="shared" si="0"/>
        <v>66.472744696799836</v>
      </c>
    </row>
    <row r="22" spans="1:14" ht="16.5" thickBot="1" x14ac:dyDescent="0.3">
      <c r="A22" s="4">
        <v>44</v>
      </c>
      <c r="B22" s="4">
        <v>53000</v>
      </c>
      <c r="C22" s="4">
        <v>63</v>
      </c>
      <c r="D22" s="12">
        <f t="shared" si="0"/>
        <v>53.309095666254557</v>
      </c>
    </row>
    <row r="23" spans="1:14" ht="16.5" thickBot="1" x14ac:dyDescent="0.3">
      <c r="A23" s="5">
        <v>17</v>
      </c>
      <c r="B23" s="4">
        <v>21000</v>
      </c>
      <c r="C23" s="4">
        <v>51</v>
      </c>
      <c r="D23" s="12">
        <f t="shared" si="0"/>
        <v>22.774546841332999</v>
      </c>
    </row>
    <row r="24" spans="1:14" ht="16.5" thickBot="1" x14ac:dyDescent="0.3">
      <c r="A24" s="5">
        <v>20</v>
      </c>
      <c r="B24" s="4">
        <v>24000</v>
      </c>
      <c r="C24" s="4">
        <v>59</v>
      </c>
      <c r="D24" s="12">
        <f t="shared" si="0"/>
        <v>28.343283315653114</v>
      </c>
    </row>
    <row r="25" spans="1:14" ht="16.5" thickBot="1" x14ac:dyDescent="0.3">
      <c r="A25" s="5">
        <v>87</v>
      </c>
      <c r="B25" s="4">
        <v>33500</v>
      </c>
      <c r="C25" s="4">
        <v>125</v>
      </c>
      <c r="D25" s="12">
        <f t="shared" si="0"/>
        <v>61.984740220431071</v>
      </c>
    </row>
    <row r="26" spans="1:14" ht="16.5" thickBot="1" x14ac:dyDescent="0.3">
      <c r="A26" s="5">
        <v>75</v>
      </c>
      <c r="B26" s="4">
        <v>25000</v>
      </c>
      <c r="C26" s="4">
        <v>122</v>
      </c>
      <c r="D26" s="12">
        <f t="shared" si="0"/>
        <v>53.947804030319929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Лист5</vt:lpstr>
      <vt:lpstr>Лист6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cheru</dc:creator>
  <cp:lastModifiedBy>Константин Бакуменко</cp:lastModifiedBy>
  <dcterms:created xsi:type="dcterms:W3CDTF">2015-06-05T18:19:34Z</dcterms:created>
  <dcterms:modified xsi:type="dcterms:W3CDTF">2025-12-04T07:39:05Z</dcterms:modified>
</cp:coreProperties>
</file>